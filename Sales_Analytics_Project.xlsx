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pivotTables/pivotTable4.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https://d.docs.live.net/d79e5f5474b11229/Documents/"/>
    </mc:Choice>
  </mc:AlternateContent>
  <xr:revisionPtr revIDLastSave="619" documentId="8_{D435DB8F-9F09-49EC-9167-2173E7F0386C}" xr6:coauthVersionLast="47" xr6:coauthVersionMax="47" xr10:uidLastSave="{4E6F01F5-30E8-4130-AFF6-D6ACB371B76E}"/>
  <bookViews>
    <workbookView xWindow="-108" yWindow="-108" windowWidth="23256" windowHeight="12456" xr2:uid="{D39BD0FF-78EE-4B73-B3CA-F81B31E1330C}"/>
  </bookViews>
  <sheets>
    <sheet name="Dashboard" sheetId="7" r:id="rId1"/>
    <sheet name="dataset" sheetId="1" r:id="rId2"/>
    <sheet name="Regional Analysis" sheetId="10" r:id="rId3"/>
    <sheet name="Sales Trend Chart" sheetId="3" r:id="rId4"/>
    <sheet name="Top selling Products" sheetId="4" r:id="rId5"/>
    <sheet name="Category Analysis" sheetId="5" r:id="rId6"/>
  </sheets>
  <definedNames>
    <definedName name="Slicer_Region">#N/A</definedName>
    <definedName name="Slicer_Sales">#N/A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2" i="1"/>
</calcChain>
</file>

<file path=xl/sharedStrings.xml><?xml version="1.0" encoding="utf-8"?>
<sst xmlns="http://schemas.openxmlformats.org/spreadsheetml/2006/main" count="73" uniqueCount="29">
  <si>
    <t>Order ID</t>
  </si>
  <si>
    <t>Date</t>
  </si>
  <si>
    <t>Product Name</t>
  </si>
  <si>
    <t>Category</t>
  </si>
  <si>
    <t>Region</t>
  </si>
  <si>
    <t>Sales</t>
  </si>
  <si>
    <t>Quantity</t>
  </si>
  <si>
    <t>Profit</t>
  </si>
  <si>
    <t>Laptop</t>
  </si>
  <si>
    <t>Technology</t>
  </si>
  <si>
    <t>South</t>
  </si>
  <si>
    <t>Mouse</t>
  </si>
  <si>
    <t>East</t>
  </si>
  <si>
    <t>Chair</t>
  </si>
  <si>
    <t>Furniture</t>
  </si>
  <si>
    <t>West</t>
  </si>
  <si>
    <t>Table</t>
  </si>
  <si>
    <t>Phone</t>
  </si>
  <si>
    <t>North</t>
  </si>
  <si>
    <t>Notebook</t>
  </si>
  <si>
    <t>Stationery</t>
  </si>
  <si>
    <t>Pen</t>
  </si>
  <si>
    <t>Month</t>
  </si>
  <si>
    <t>Row Labels</t>
  </si>
  <si>
    <t>Grand Total</t>
  </si>
  <si>
    <t>Sum of Sales</t>
  </si>
  <si>
    <t>Sum of Profit</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</si>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</sst>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5">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[Sales_Analytics_Project.xlsx]Sales Trend Chart!PivotTable3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Trend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 Chart'!$B$3</c:f>
              <c:strCache>
                <c:ptCount val="1"/>
                <c:pt idx="0">
                  <c:v>Total</c:v>
                </c:pt>
              </c:strCache>
            </c:strRef>
          </c:tx>
          <c:spPr>
            <a:solidFill>
              <a:schemeClr val="accent1">
                <a:lumMod val="50000"/>
              </a:schemeClr>
            </a:solidFill>
            <a:ln>
              <a:noFill/>
            </a:ln>
            <a:effectLst/>
          </c:spPr>
          <c:invertIfNegative val="0"/>
          <c:cat>
            <c:strRef>
              <c:f>'Sales Trend Chart'!$A$4:$A$6</c:f>
              <c:strCache>
                <c:ptCount val="2"/>
                <c:pt idx="0">
                  <c:v>Jan</c:v>
                </c:pt>
                <c:pt idx="1">
                  <c:v>Feb</c:v>
                </c:pt>
              </c:strCache>
            </c:strRef>
          </c:cat>
          <c:val>
            <c:numRef>
              <c:f>'Sales Trend Chart'!$B$4:$B$6</c:f>
              <c:numCache>
                <c:formatCode>General</c:formatCode>
                <c:ptCount val="2"/>
                <c:pt idx="0">
                  <c:v>109000</c:v>
                </c:pt>
                <c:pt idx="1">
                  <c:v>600</c:v>
                </c:pt>
              </c:numCache>
            </c:numRef>
          </c:val>
          <c:extLst>
            <c:ext xmlns:c16="http://schemas.microsoft.com/office/drawing/2014/chart" uri="{C3380CC4-5D6E-409C-BE32-E72D297353CC}">
              <c16:uniqueId val="{00000000-23B1-4469-9A00-3E9A7AACEBD3}"/>
            </c:ext>
          </c:extLst>
        </c:ser>
        <c:dLbls>
          <c:showLegendKey val="0"/>
          <c:showVal val="0"/>
          <c:showCatName val="0"/>
          <c:showSerName val="0"/>
          <c:showPercent val="0"/>
          <c:showBubbleSize val="0"/>
        </c:dLbls>
        <c:gapWidth val="219"/>
        <c:axId val="970919311"/>
        <c:axId val="970929391"/>
      </c:barChart>
      <c:catAx>
        <c:axId val="970919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29391"/>
        <c:crosses val="autoZero"/>
        <c:auto val="1"/>
        <c:lblAlgn val="ctr"/>
        <c:lblOffset val="100"/>
        <c:noMultiLvlLbl val="0"/>
      </c:catAx>
      <c:valAx>
        <c:axId val="97092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1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[Sales_Analytics_Project.xlsx]Category 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Analysis</a:t>
            </a:r>
            <a:endParaRPr lang="en-IN"/>
          </a:p>
        </c:rich>
      </c:tx>
      <c:layout>
        <c:manualLayout>
          <c:xMode val="edge"/>
          <c:yMode val="edge"/>
          <c:x val="0.35763381995133819"/>
          <c:y val="5.3357527839884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lumMod val="50000"/>
            </a:schemeClr>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842740004214822E-2"/>
          <c:y val="0.21698854001274531"/>
          <c:w val="0.75727274715660542"/>
          <c:h val="0.59421733741615634"/>
        </c:manualLayout>
      </c:layout>
      <c:pie3DChart>
        <c:varyColors val="1"/>
        <c:ser>
          <c:idx val="0"/>
          <c:order val="0"/>
          <c:tx>
            <c:strRef>
              <c:f>'Category Analysis'!$B$3</c:f>
              <c:strCache>
                <c:ptCount val="1"/>
                <c:pt idx="0">
                  <c:v>Sum of Sales</c:v>
                </c:pt>
              </c:strCache>
            </c:strRef>
          </c:tx>
          <c:spPr>
            <a:solidFill>
              <a:schemeClr val="accent1">
                <a:lumMod val="50000"/>
              </a:schemeClr>
            </a:solidFill>
          </c:spPr>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CC8-4B3F-9581-1707B66235DF}"/>
              </c:ext>
            </c:extLst>
          </c:dPt>
          <c:dPt>
            <c:idx val="1"/>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CC8-4B3F-9581-1707B66235DF}"/>
              </c:ext>
            </c:extLst>
          </c:dPt>
          <c:dPt>
            <c:idx val="2"/>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FCC8-4B3F-9581-1707B66235DF}"/>
              </c:ext>
            </c:extLst>
          </c:dPt>
          <c:cat>
            <c:strRef>
              <c:f>'Category Analysis'!$A$4:$A$6</c:f>
              <c:strCache>
                <c:ptCount val="2"/>
                <c:pt idx="0">
                  <c:v>Furniture</c:v>
                </c:pt>
                <c:pt idx="1">
                  <c:v>Technology</c:v>
                </c:pt>
              </c:strCache>
            </c:strRef>
          </c:cat>
          <c:val>
            <c:numRef>
              <c:f>'Category Analysis'!$B$4:$B$6</c:f>
              <c:numCache>
                <c:formatCode>General</c:formatCode>
                <c:ptCount val="2"/>
                <c:pt idx="0">
                  <c:v>7000</c:v>
                </c:pt>
                <c:pt idx="1">
                  <c:v>102600</c:v>
                </c:pt>
              </c:numCache>
            </c:numRef>
          </c:val>
          <c:extLst>
            <c:ext xmlns:c16="http://schemas.microsoft.com/office/drawing/2014/chart" uri="{C3380CC4-5D6E-409C-BE32-E72D297353CC}">
              <c16:uniqueId val="{00000006-FCC8-4B3F-9581-1707B66235DF}"/>
            </c:ext>
          </c:extLst>
        </c:ser>
        <c:ser>
          <c:idx val="1"/>
          <c:order val="1"/>
          <c:tx>
            <c:strRef>
              <c:f>'Category Analysis'!$C$3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FCC8-4B3F-9581-1707B66235D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FCC8-4B3F-9581-1707B66235D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FCC8-4B3F-9581-1707B66235DF}"/>
              </c:ext>
            </c:extLst>
          </c:dPt>
          <c:cat>
            <c:strRef>
              <c:f>'Category Analysis'!$A$4:$A$6</c:f>
              <c:strCache>
                <c:ptCount val="2"/>
                <c:pt idx="0">
                  <c:v>Furniture</c:v>
                </c:pt>
                <c:pt idx="1">
                  <c:v>Technology</c:v>
                </c:pt>
              </c:strCache>
            </c:strRef>
          </c:cat>
          <c:val>
            <c:numRef>
              <c:f>'Category Analysis'!$C$4:$C$6</c:f>
              <c:numCache>
                <c:formatCode>General</c:formatCode>
                <c:ptCount val="2"/>
                <c:pt idx="0">
                  <c:v>1200</c:v>
                </c:pt>
                <c:pt idx="1">
                  <c:v>17200</c:v>
                </c:pt>
              </c:numCache>
            </c:numRef>
          </c:val>
          <c:extLst>
            <c:ext xmlns:c16="http://schemas.microsoft.com/office/drawing/2014/chart" uri="{C3380CC4-5D6E-409C-BE32-E72D297353CC}">
              <c16:uniqueId val="{0000000D-FCC8-4B3F-9581-1707B66235D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[Sales_Analytics_Project.xlsx]Top selling Products!PivotTable4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Selling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selling Products'!$B$3</c:f>
              <c:strCache>
                <c:ptCount val="1"/>
                <c:pt idx="0">
                  <c:v>Total</c:v>
                </c:pt>
              </c:strCache>
            </c:strRef>
          </c:tx>
          <c:spPr>
            <a:solidFill>
              <a:schemeClr val="tx2">
                <a:lumMod val="75000"/>
              </a:schemeClr>
            </a:solidFill>
            <a:ln>
              <a:noFill/>
            </a:ln>
            <a:effectLst/>
          </c:spPr>
          <c:invertIfNegative val="0"/>
          <c:cat>
            <c:strRef>
              <c:f>'Top selling Products'!$A$4:$A$5</c:f>
              <c:strCache>
                <c:ptCount val="1"/>
                <c:pt idx="0">
                  <c:v>Laptop</c:v>
                </c:pt>
              </c:strCache>
            </c:strRef>
          </c:cat>
          <c:val>
            <c:numRef>
              <c:f>'Top selling Products'!$B$4:$B$5</c:f>
              <c:numCache>
                <c:formatCode>General</c:formatCode>
                <c:ptCount val="1"/>
                <c:pt idx="0">
                  <c:v>52000</c:v>
                </c:pt>
              </c:numCache>
            </c:numRef>
          </c:val>
          <c:extLst>
            <c:ext xmlns:c16="http://schemas.microsoft.com/office/drawing/2014/chart" uri="{C3380CC4-5D6E-409C-BE32-E72D297353CC}">
              <c16:uniqueId val="{00000000-DF26-4323-8D83-AEE6A1E92CCC}"/>
            </c:ext>
          </c:extLst>
        </c:ser>
        <c:dLbls>
          <c:showLegendKey val="0"/>
          <c:showVal val="0"/>
          <c:showCatName val="0"/>
          <c:showSerName val="0"/>
          <c:showPercent val="0"/>
          <c:showBubbleSize val="0"/>
        </c:dLbls>
        <c:gapWidth val="219"/>
        <c:overlap val="-27"/>
        <c:axId val="970918351"/>
        <c:axId val="970925551"/>
      </c:barChart>
      <c:catAx>
        <c:axId val="97091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25551"/>
        <c:crosses val="autoZero"/>
        <c:auto val="1"/>
        <c:lblAlgn val="ctr"/>
        <c:lblOffset val="100"/>
        <c:noMultiLvlLbl val="0"/>
      </c:catAx>
      <c:valAx>
        <c:axId val="97092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1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[Sales_Analytics_Project.xlsx]Regional 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Analysis'!$B$3</c:f>
              <c:strCache>
                <c:ptCount val="1"/>
                <c:pt idx="0">
                  <c:v>Total</c:v>
                </c:pt>
              </c:strCache>
            </c:strRef>
          </c:tx>
          <c:spPr>
            <a:solidFill>
              <a:schemeClr val="accent1">
                <a:lumMod val="50000"/>
              </a:schemeClr>
            </a:solidFill>
            <a:ln>
              <a:solidFill>
                <a:srgbClr val="0070C0"/>
              </a:solidFill>
            </a:ln>
            <a:effectLst/>
          </c:spPr>
          <c:invertIfNegative val="0"/>
          <c:cat>
            <c:strRef>
              <c:f>'Regional Analysis'!$A$4:$A$5</c:f>
              <c:strCache>
                <c:ptCount val="1"/>
                <c:pt idx="0">
                  <c:v>South</c:v>
                </c:pt>
              </c:strCache>
            </c:strRef>
          </c:cat>
          <c:val>
            <c:numRef>
              <c:f>'Regional Analysis'!$B$4:$B$5</c:f>
              <c:numCache>
                <c:formatCode>General</c:formatCode>
                <c:ptCount val="1"/>
                <c:pt idx="0">
                  <c:v>109600</c:v>
                </c:pt>
              </c:numCache>
            </c:numRef>
          </c:val>
          <c:extLst>
            <c:ext xmlns:c16="http://schemas.microsoft.com/office/drawing/2014/chart" uri="{C3380CC4-5D6E-409C-BE32-E72D297353CC}">
              <c16:uniqueId val="{00000000-A40C-4865-A86F-19A54C465FEC}"/>
            </c:ext>
          </c:extLst>
        </c:ser>
        <c:dLbls>
          <c:showLegendKey val="0"/>
          <c:showVal val="0"/>
          <c:showCatName val="0"/>
          <c:showSerName val="0"/>
          <c:showPercent val="0"/>
          <c:showBubbleSize val="0"/>
        </c:dLbls>
        <c:gapWidth val="219"/>
        <c:overlap val="-27"/>
        <c:axId val="2141868704"/>
        <c:axId val="2141882144"/>
      </c:barChart>
      <c:catAx>
        <c:axId val="214186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82144"/>
        <c:crosses val="autoZero"/>
        <c:auto val="1"/>
        <c:lblAlgn val="ctr"/>
        <c:lblOffset val="100"/>
        <c:noMultiLvlLbl val="0"/>
      </c:catAx>
      <c:valAx>
        <c:axId val="214188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6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[Sales_Analytics_Project.xlsx]Regional Analysis!PivotTable2</c:name>
    <c:fmtId val="3"/>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Analysis</a:t>
            </a:r>
          </a:p>
          <a:p>
            <a:pPr algn="r">
              <a:defRPr/>
            </a:pPr>
            <a:endParaRPr lang="en-US"/>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Analysis'!$B$3</c:f>
              <c:strCache>
                <c:ptCount val="1"/>
                <c:pt idx="0">
                  <c:v>Total</c:v>
                </c:pt>
              </c:strCache>
            </c:strRef>
          </c:tx>
          <c:spPr>
            <a:solidFill>
              <a:schemeClr val="accent1"/>
            </a:solidFill>
            <a:ln>
              <a:noFill/>
            </a:ln>
            <a:effectLst/>
          </c:spPr>
          <c:invertIfNegative val="0"/>
          <c:cat>
            <c:strRef>
              <c:f>'Regional Analysis'!$A$4:$A$5</c:f>
              <c:strCache>
                <c:ptCount val="1"/>
                <c:pt idx="0">
                  <c:v>South</c:v>
                </c:pt>
              </c:strCache>
            </c:strRef>
          </c:cat>
          <c:val>
            <c:numRef>
              <c:f>'Regional Analysis'!$B$4:$B$5</c:f>
              <c:numCache>
                <c:formatCode>General</c:formatCode>
                <c:ptCount val="1"/>
                <c:pt idx="0">
                  <c:v>109600</c:v>
                </c:pt>
              </c:numCache>
            </c:numRef>
          </c:val>
          <c:extLst>
            <c:ext xmlns:c16="http://schemas.microsoft.com/office/drawing/2014/chart" uri="{C3380CC4-5D6E-409C-BE32-E72D297353CC}">
              <c16:uniqueId val="{00000002-BFDA-4CEB-87D7-3D8BD4B6BCB2}"/>
            </c:ext>
          </c:extLst>
        </c:ser>
        <c:dLbls>
          <c:showLegendKey val="0"/>
          <c:showVal val="0"/>
          <c:showCatName val="0"/>
          <c:showSerName val="0"/>
          <c:showPercent val="0"/>
          <c:showBubbleSize val="0"/>
        </c:dLbls>
        <c:gapWidth val="219"/>
        <c:overlap val="-27"/>
        <c:axId val="2141868704"/>
        <c:axId val="2141882144"/>
      </c:barChart>
      <c:catAx>
        <c:axId val="214186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82144"/>
        <c:crosses val="autoZero"/>
        <c:auto val="1"/>
        <c:lblAlgn val="ctr"/>
        <c:lblOffset val="100"/>
        <c:noMultiLvlLbl val="0"/>
      </c:catAx>
      <c:valAx>
        <c:axId val="214188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6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[Sales_Analytics_Project.xlsx]Sales Trend Chart!PivotTable3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Trend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 Chart'!$B$3</c:f>
              <c:strCache>
                <c:ptCount val="1"/>
                <c:pt idx="0">
                  <c:v>Total</c:v>
                </c:pt>
              </c:strCache>
            </c:strRef>
          </c:tx>
          <c:spPr>
            <a:solidFill>
              <a:schemeClr val="accent1">
                <a:lumMod val="50000"/>
              </a:schemeClr>
            </a:solidFill>
            <a:ln>
              <a:noFill/>
            </a:ln>
            <a:effectLst/>
          </c:spPr>
          <c:invertIfNegative val="0"/>
          <c:cat>
            <c:strRef>
              <c:f>'Sales Trend Chart'!$A$4:$A$6</c:f>
              <c:strCache>
                <c:ptCount val="2"/>
                <c:pt idx="0">
                  <c:v>Jan</c:v>
                </c:pt>
                <c:pt idx="1">
                  <c:v>Feb</c:v>
                </c:pt>
              </c:strCache>
            </c:strRef>
          </c:cat>
          <c:val>
            <c:numRef>
              <c:f>'Sales Trend Chart'!$B$4:$B$6</c:f>
              <c:numCache>
                <c:formatCode>General</c:formatCode>
                <c:ptCount val="2"/>
                <c:pt idx="0">
                  <c:v>109000</c:v>
                </c:pt>
                <c:pt idx="1">
                  <c:v>600</c:v>
                </c:pt>
              </c:numCache>
            </c:numRef>
          </c:val>
          <c:extLst>
            <c:ext xmlns:c16="http://schemas.microsoft.com/office/drawing/2014/chart" uri="{C3380CC4-5D6E-409C-BE32-E72D297353CC}">
              <c16:uniqueId val="{00000000-A981-4976-8DC1-0237DB2380B2}"/>
            </c:ext>
          </c:extLst>
        </c:ser>
        <c:dLbls>
          <c:showLegendKey val="0"/>
          <c:showVal val="0"/>
          <c:showCatName val="0"/>
          <c:showSerName val="0"/>
          <c:showPercent val="0"/>
          <c:showBubbleSize val="0"/>
        </c:dLbls>
        <c:gapWidth val="219"/>
        <c:axId val="970919311"/>
        <c:axId val="970929391"/>
      </c:barChart>
      <c:catAx>
        <c:axId val="97091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29391"/>
        <c:crosses val="autoZero"/>
        <c:auto val="1"/>
        <c:lblAlgn val="ctr"/>
        <c:lblOffset val="100"/>
        <c:noMultiLvlLbl val="0"/>
      </c:catAx>
      <c:valAx>
        <c:axId val="97092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1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[Sales_Analytics_Project.xlsx]Top selling Products!PivotTable4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Selling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selling Products'!$B$3</c:f>
              <c:strCache>
                <c:ptCount val="1"/>
                <c:pt idx="0">
                  <c:v>Total</c:v>
                </c:pt>
              </c:strCache>
            </c:strRef>
          </c:tx>
          <c:spPr>
            <a:solidFill>
              <a:schemeClr val="accent1"/>
            </a:solidFill>
            <a:ln>
              <a:noFill/>
            </a:ln>
            <a:effectLst/>
          </c:spPr>
          <c:invertIfNegative val="0"/>
          <c:cat>
            <c:strRef>
              <c:f>'Top selling Products'!$A$4:$A$5</c:f>
              <c:strCache>
                <c:ptCount val="1"/>
                <c:pt idx="0">
                  <c:v>Laptop</c:v>
                </c:pt>
              </c:strCache>
            </c:strRef>
          </c:cat>
          <c:val>
            <c:numRef>
              <c:f>'Top selling Products'!$B$4:$B$5</c:f>
              <c:numCache>
                <c:formatCode>General</c:formatCode>
                <c:ptCount val="1"/>
                <c:pt idx="0">
                  <c:v>52000</c:v>
                </c:pt>
              </c:numCache>
            </c:numRef>
          </c:val>
          <c:extLst>
            <c:ext xmlns:c16="http://schemas.microsoft.com/office/drawing/2014/chart" uri="{C3380CC4-5D6E-409C-BE32-E72D297353CC}">
              <c16:uniqueId val="{00000000-C435-43C1-A1E2-B853B7261EB2}"/>
            </c:ext>
          </c:extLst>
        </c:ser>
        <c:dLbls>
          <c:showLegendKey val="0"/>
          <c:showVal val="0"/>
          <c:showCatName val="0"/>
          <c:showSerName val="0"/>
          <c:showPercent val="0"/>
          <c:showBubbleSize val="0"/>
        </c:dLbls>
        <c:gapWidth val="219"/>
        <c:overlap val="-27"/>
        <c:axId val="970918351"/>
        <c:axId val="970925551"/>
      </c:barChart>
      <c:catAx>
        <c:axId val="97091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25551"/>
        <c:crosses val="autoZero"/>
        <c:auto val="1"/>
        <c:lblAlgn val="ctr"/>
        <c:lblOffset val="100"/>
        <c:noMultiLvlLbl val="0"/>
      </c:catAx>
      <c:valAx>
        <c:axId val="97092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1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[Sales_Analytics_Project.xlsx]Category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Analysis'!$B$3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CAD-44F7-B966-51104E99569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AD-44F7-B966-51104E99569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CAD-44F7-B966-51104E995694}"/>
              </c:ext>
            </c:extLst>
          </c:dPt>
          <c:cat>
            <c:strRef>
              <c:f>'Category Analysis'!$A$4:$A$6</c:f>
              <c:strCache>
                <c:ptCount val="2"/>
                <c:pt idx="0">
                  <c:v>Furniture</c:v>
                </c:pt>
                <c:pt idx="1">
                  <c:v>Technology</c:v>
                </c:pt>
              </c:strCache>
            </c:strRef>
          </c:cat>
          <c:val>
            <c:numRef>
              <c:f>'Category Analysis'!$B$4:$B$6</c:f>
              <c:numCache>
                <c:formatCode>General</c:formatCode>
                <c:ptCount val="2"/>
                <c:pt idx="0">
                  <c:v>7000</c:v>
                </c:pt>
                <c:pt idx="1">
                  <c:v>102600</c:v>
                </c:pt>
              </c:numCache>
            </c:numRef>
          </c:val>
          <c:extLst>
            <c:ext xmlns:c16="http://schemas.microsoft.com/office/drawing/2014/chart" uri="{C3380CC4-5D6E-409C-BE32-E72D297353CC}">
              <c16:uniqueId val="{00000000-FDA9-4A9D-B973-D2E646C9172A}"/>
            </c:ext>
          </c:extLst>
        </c:ser>
        <c:ser>
          <c:idx val="1"/>
          <c:order val="1"/>
          <c:tx>
            <c:strRef>
              <c:f>'Category Analysis'!$C$3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7CAD-44F7-B966-51104E99569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7CAD-44F7-B966-51104E99569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7CAD-44F7-B966-51104E995694}"/>
              </c:ext>
            </c:extLst>
          </c:dPt>
          <c:cat>
            <c:strRef>
              <c:f>'Category Analysis'!$A$4:$A$6</c:f>
              <c:strCache>
                <c:ptCount val="2"/>
                <c:pt idx="0">
                  <c:v>Furniture</c:v>
                </c:pt>
                <c:pt idx="1">
                  <c:v>Technology</c:v>
                </c:pt>
              </c:strCache>
            </c:strRef>
          </c:cat>
          <c:val>
            <c:numRef>
              <c:f>'Category Analysis'!$C$4:$C$6</c:f>
              <c:numCache>
                <c:formatCode>General</c:formatCode>
                <c:ptCount val="2"/>
                <c:pt idx="0">
                  <c:v>1200</c:v>
                </c:pt>
                <c:pt idx="1">
                  <c:v>17200</c:v>
                </c:pt>
              </c:numCache>
            </c:numRef>
          </c:val>
          <c:extLst>
            <c:ext xmlns:c16="http://schemas.microsoft.com/office/drawing/2014/chart" uri="{C3380CC4-5D6E-409C-BE32-E72D297353CC}">
              <c16:uniqueId val="{00000001-FDA9-4A9D-B973-D2E646C9172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548640</xdr:colOff>
      <xdr:row>12</xdr:row>
      <xdr:rowOff>0</xdr:rowOff>
    </xdr:to>
    <xdr:graphicFrame macro="">
      <xdr:nvGraphicFramePr>
        <xdr:cNvPr id="2" name="Chart 1">
          <a:extLst>
            <a:ext uri="{FF2B5EF4-FFF2-40B4-BE49-F238E27FC236}">
              <a16:creationId xmlns:a16="http://schemas.microsoft.com/office/drawing/2014/main" id="{3B94E5CC-FF1C-4AD6-99B0-669463735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388620</xdr:colOff>
      <xdr:row>0</xdr:row>
      <xdr:rowOff>22860</xdr:rowOff>
    </xdr:from>
    <xdr:to>
      <xdr:col>22</xdr:col>
      <xdr:colOff>99060</xdr:colOff>
      <xdr:row>11</xdr:row>
      <xdr:rowOff>175260</xdr:rowOff>
    </xdr:to>
    <xdr:graphicFrame macro="">
      <xdr:nvGraphicFramePr>
        <xdr:cNvPr id="5" name="Chart 4">
          <a:extLst>
            <a:ext uri="{FF2B5EF4-FFF2-40B4-BE49-F238E27FC236}">
              <a16:creationId xmlns:a16="http://schemas.microsoft.com/office/drawing/2014/main" id="{5D0806A4-4FCA-49AD-B0B7-3766E0E89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xdr:rowOff>
    </xdr:from>
    <xdr:to>
      <xdr:col>6</xdr:col>
      <xdr:colOff>548640</xdr:colOff>
      <xdr:row>25</xdr:row>
      <xdr:rowOff>0</xdr:rowOff>
    </xdr:to>
    <xdr:graphicFrame macro="">
      <xdr:nvGraphicFramePr>
        <xdr:cNvPr id="7" name="Chart 6">
          <a:extLst>
            <a:ext uri="{FF2B5EF4-FFF2-40B4-BE49-F238E27FC236}">
              <a16:creationId xmlns:a16="http://schemas.microsoft.com/office/drawing/2014/main" id="{ED893BCF-CF77-46A7-AEC5-615FFDE66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411480</xdr:colOff>
      <xdr:row>13</xdr:row>
      <xdr:rowOff>7620</xdr:rowOff>
    </xdr:from>
    <xdr:to>
      <xdr:col>22</xdr:col>
      <xdr:colOff>99060</xdr:colOff>
      <xdr:row>25</xdr:row>
      <xdr:rowOff>7620</xdr:rowOff>
    </xdr:to>
    <xdr:graphicFrame macro="">
      <xdr:nvGraphicFramePr>
        <xdr:cNvPr id="13" name="Chart 12">
          <a:extLst>
            <a:ext uri="{FF2B5EF4-FFF2-40B4-BE49-F238E27FC236}">
              <a16:creationId xmlns:a16="http://schemas.microsoft.com/office/drawing/2014/main" id="{602D4EE1-724C-4884-8516-2B04AF84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449580</xdr:colOff>
      <xdr:row>13</xdr:row>
      <xdr:rowOff>38101</xdr:rowOff>
    </xdr:from>
    <xdr:to>
      <xdr:col>10</xdr:col>
      <xdr:colOff>274320</xdr:colOff>
      <xdr:row>25</xdr:row>
      <xdr:rowOff>38101</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E034A7AA-47DB-46DF-BBA2-296CD431BC5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846320" y="2415541"/>
              <a:ext cx="165354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510540</xdr:colOff>
      <xdr:row>13</xdr:row>
      <xdr:rowOff>22861</xdr:rowOff>
    </xdr:from>
    <xdr:to>
      <xdr:col>13</xdr:col>
      <xdr:colOff>350520</xdr:colOff>
      <xdr:row>25</xdr:row>
      <xdr:rowOff>15241</xdr:rowOff>
    </xdr:to>
    <mc:AlternateContent xmlns:mc="http://schemas.openxmlformats.org/markup-compatibility/2006" xmlns:a14="http://schemas.microsoft.com/office/drawing/2010/main">
      <mc:Choice Requires="a14">
        <xdr:graphicFrame macro="">
          <xdr:nvGraphicFramePr>
            <xdr:cNvPr id="15" name="Sales 1">
              <a:extLst>
                <a:ext uri="{FF2B5EF4-FFF2-40B4-BE49-F238E27FC236}">
                  <a16:creationId xmlns:a16="http://schemas.microsoft.com/office/drawing/2014/main" id="{14554957-AC40-4884-9954-F07A2EB5AF20}"/>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6736080" y="2430780"/>
              <a:ext cx="1668780" cy="2225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30480</xdr:colOff>
      <xdr:row>0</xdr:row>
      <xdr:rowOff>121921</xdr:rowOff>
    </xdr:from>
    <xdr:to>
      <xdr:col>13</xdr:col>
      <xdr:colOff>77289</xdr:colOff>
      <xdr:row>7</xdr:row>
      <xdr:rowOff>160021</xdr:rowOff>
    </xdr:to>
    <xdr:sp macro="" textlink="">
      <xdr:nvSpPr>
        <xdr:cNvPr id="16" name="TextBox 15">
          <a:extLst>
            <a:ext uri="{FF2B5EF4-FFF2-40B4-BE49-F238E27FC236}">
              <a16:creationId xmlns:a16="http://schemas.microsoft.com/office/drawing/2014/main" id="{487C8177-1A5F-239D-1759-82F6D4774BA9}"/>
            </a:ext>
          </a:extLst>
        </xdr:cNvPr>
        <xdr:cNvSpPr txBox="1"/>
      </xdr:nvSpPr>
      <xdr:spPr>
        <a:xfrm>
          <a:off x="5036820" y="121921"/>
          <a:ext cx="3094809" cy="1318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Sales Analytics Dashboard</a:t>
          </a:r>
        </a:p>
      </xdr:txBody>
    </xdr:sp>
    <xdr:clientData/>
  </xdr:twoCellAnchor>
  <xdr:oneCellAnchor>
    <xdr:from>
      <xdr:col>8</xdr:col>
      <xdr:colOff>182880</xdr:colOff>
      <xdr:row>8</xdr:row>
      <xdr:rowOff>76200</xdr:rowOff>
    </xdr:from>
    <xdr:ext cx="1104900" cy="1082040"/>
    <xdr:sp macro="" textlink="">
      <xdr:nvSpPr>
        <xdr:cNvPr id="19" name="TextBox 18">
          <a:extLst>
            <a:ext uri="{FF2B5EF4-FFF2-40B4-BE49-F238E27FC236}">
              <a16:creationId xmlns:a16="http://schemas.microsoft.com/office/drawing/2014/main" id="{7EC4210E-E4F4-4A10-8BAD-91D5D36F0424}"/>
            </a:ext>
          </a:extLst>
        </xdr:cNvPr>
        <xdr:cNvSpPr txBox="1"/>
      </xdr:nvSpPr>
      <xdr:spPr>
        <a:xfrm flipH="1">
          <a:off x="5189220" y="1539240"/>
          <a:ext cx="1104900" cy="1082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7</xdr:col>
      <xdr:colOff>563880</xdr:colOff>
      <xdr:row>8</xdr:row>
      <xdr:rowOff>129540</xdr:rowOff>
    </xdr:from>
    <xdr:ext cx="3589020" cy="609600"/>
    <xdr:sp macro="" textlink="">
      <xdr:nvSpPr>
        <xdr:cNvPr id="20" name="TextBox 19">
          <a:extLst>
            <a:ext uri="{FF2B5EF4-FFF2-40B4-BE49-F238E27FC236}">
              <a16:creationId xmlns:a16="http://schemas.microsoft.com/office/drawing/2014/main" id="{B4AFDA99-87E1-4281-9DDC-1BB4BA7AE0A9}"/>
            </a:ext>
          </a:extLst>
        </xdr:cNvPr>
        <xdr:cNvSpPr txBox="1"/>
      </xdr:nvSpPr>
      <xdr:spPr>
        <a:xfrm>
          <a:off x="4960620" y="1592580"/>
          <a:ext cx="3589020"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t>Total Sales    Total Profit  </a:t>
          </a:r>
          <a:r>
            <a:rPr lang="en-IN" sz="1600">
              <a:solidFill>
                <a:schemeClr val="tx1"/>
              </a:solidFill>
              <a:effectLst/>
              <a:latin typeface="+mn-lt"/>
              <a:ea typeface="+mn-ea"/>
              <a:cs typeface="+mn-cs"/>
            </a:rPr>
            <a:t>Total Orders </a:t>
          </a:r>
          <a:r>
            <a:rPr lang="en-IN" sz="1600"/>
            <a:t> 220800         39340             15</a:t>
          </a:r>
        </a:p>
      </xdr:txBody>
    </xdr:sp>
    <xdr:clientData/>
  </xdr:oneCellAnchor>
  <xdr:oneCellAnchor>
    <xdr:from>
      <xdr:col>13</xdr:col>
      <xdr:colOff>502920</xdr:colOff>
      <xdr:row>8</xdr:row>
      <xdr:rowOff>53340</xdr:rowOff>
    </xdr:from>
    <xdr:ext cx="2080260" cy="929640"/>
    <xdr:sp macro="" textlink="">
      <xdr:nvSpPr>
        <xdr:cNvPr id="21" name="TextBox 20">
          <a:extLst>
            <a:ext uri="{FF2B5EF4-FFF2-40B4-BE49-F238E27FC236}">
              <a16:creationId xmlns:a16="http://schemas.microsoft.com/office/drawing/2014/main" id="{D1935525-347C-4F19-A92C-EF461DD0C714}"/>
            </a:ext>
          </a:extLst>
        </xdr:cNvPr>
        <xdr:cNvSpPr txBox="1"/>
      </xdr:nvSpPr>
      <xdr:spPr>
        <a:xfrm>
          <a:off x="8557260" y="1516380"/>
          <a:ext cx="2080260" cy="929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10</xdr:col>
      <xdr:colOff>373380</xdr:colOff>
      <xdr:row>11</xdr:row>
      <xdr:rowOff>137160</xdr:rowOff>
    </xdr:from>
    <xdr:ext cx="2080260" cy="929640"/>
    <xdr:sp macro="" textlink="">
      <xdr:nvSpPr>
        <xdr:cNvPr id="23" name="TextBox 22">
          <a:extLst>
            <a:ext uri="{FF2B5EF4-FFF2-40B4-BE49-F238E27FC236}">
              <a16:creationId xmlns:a16="http://schemas.microsoft.com/office/drawing/2014/main" id="{86054C3C-3D88-47FF-AC45-A4988EF38D81}"/>
            </a:ext>
          </a:extLst>
        </xdr:cNvPr>
        <xdr:cNvSpPr txBox="1"/>
      </xdr:nvSpPr>
      <xdr:spPr>
        <a:xfrm>
          <a:off x="6598920" y="2148840"/>
          <a:ext cx="2080260" cy="929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0.8</cdr:x>
      <cdr:y>0.03194</cdr:y>
    </cdr:from>
    <cdr:to>
      <cdr:x>1</cdr:x>
      <cdr:y>0.36528</cdr:y>
    </cdr:to>
    <cdr:sp macro="" textlink="">
      <cdr:nvSpPr>
        <cdr:cNvPr id="2" name="TextBox 1">
          <a:extLst xmlns:a="http://schemas.openxmlformats.org/drawingml/2006/main">
            <a:ext uri="{FF2B5EF4-FFF2-40B4-BE49-F238E27FC236}">
              <a16:creationId xmlns:a16="http://schemas.microsoft.com/office/drawing/2014/main" id="{76E8C842-F218-A70C-7C77-83997FF502A3}"/>
            </a:ext>
          </a:extLst>
        </cdr:cNvPr>
        <cdr:cNvSpPr txBox="1"/>
      </cdr:nvSpPr>
      <cdr:spPr>
        <a:xfrm xmlns:a="http://schemas.openxmlformats.org/drawingml/2006/main">
          <a:off x="3939540" y="8763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4" name="Chart 3">
          <a:extLst>
            <a:ext uri="{FF2B5EF4-FFF2-40B4-BE49-F238E27FC236}">
              <a16:creationId xmlns:a16="http://schemas.microsoft.com/office/drawing/2014/main" id="{462DF633-235A-C15B-55FD-52112CB95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594B7B1E-D96C-19D7-5735-163529DAA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0.8</cdr:x>
      <cdr:y>0.03194</cdr:y>
    </cdr:from>
    <cdr:to>
      <cdr:x>1</cdr:x>
      <cdr:y>0.36528</cdr:y>
    </cdr:to>
    <cdr:sp macro="" textlink="">
      <cdr:nvSpPr>
        <cdr:cNvPr id="2" name="TextBox 1">
          <a:extLst xmlns:a="http://schemas.openxmlformats.org/drawingml/2006/main">
            <a:ext uri="{FF2B5EF4-FFF2-40B4-BE49-F238E27FC236}">
              <a16:creationId xmlns:a16="http://schemas.microsoft.com/office/drawing/2014/main" id="{76E8C842-F218-A70C-7C77-83997FF502A3}"/>
            </a:ext>
          </a:extLst>
        </cdr:cNvPr>
        <cdr:cNvSpPr txBox="1"/>
      </cdr:nvSpPr>
      <cdr:spPr>
        <a:xfrm xmlns:a="http://schemas.openxmlformats.org/drawingml/2006/main">
          <a:off x="3939540" y="8763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CA2F1A16-0C31-543B-C6AE-B18CF4C91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495300</xdr:colOff>
      <xdr:row>6</xdr:row>
      <xdr:rowOff>0</xdr:rowOff>
    </xdr:from>
    <xdr:to>
      <xdr:col>15</xdr:col>
      <xdr:colOff>495300</xdr:colOff>
      <xdr:row>19</xdr:row>
      <xdr:rowOff>89535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EEC3065-0C6E-CB47-0BFD-4E655A657F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5246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312420</xdr:colOff>
      <xdr:row>7</xdr:row>
      <xdr:rowOff>121920</xdr:rowOff>
    </xdr:from>
    <xdr:to>
      <xdr:col>19</xdr:col>
      <xdr:colOff>312420</xdr:colOff>
      <xdr:row>21</xdr:row>
      <xdr:rowOff>28575</xdr:rowOff>
    </xdr:to>
    <mc:AlternateContent xmlns:mc="http://schemas.openxmlformats.org/markup-compatibility/2006" xmlns:a14="http://schemas.microsoft.com/office/drawing/2010/main">
      <mc:Choice Requires="a14">
        <xdr:graphicFrame macro="">
          <xdr:nvGraphicFramePr>
            <xdr:cNvPr id="4" name="Sales">
              <a:extLst>
                <a:ext uri="{FF2B5EF4-FFF2-40B4-BE49-F238E27FC236}">
                  <a16:creationId xmlns:a16="http://schemas.microsoft.com/office/drawing/2014/main" id="{CD7ABF82-6C52-35DA-F639-B19979102DBE}"/>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0507980" y="140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D22B71AA-580D-BA86-27F8-BA401E71B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6.578446990738" createdVersion="8" refreshedVersion="8" minRefreshableVersion="3" recordCount="15" xr:uid="{56B31153-458A-41F3-B23F-AA3472A588B9}">
  <cacheSource type="worksheet">
    <worksheetSource ref="A1:H16" sheet="dataset"/>
  </cacheSource>
  <cacheFields count="8">
    <cacheField name="Order ID" numFmtId="0">
      <sharedItems containsSemiMixedTypes="0" containsString="0" containsNumber="1" containsInteger="1" minValue="1001" maxValue="1015"/>
    </cacheField>
    <cacheField name="Date" numFmtId="14">
      <sharedItems containsSemiMixedTypes="0" containsNonDate="0" containsDate="1" containsString="0" minDate="2024-01-01T00:00:00" maxDate="2024-02-21T00:00:00"/>
    </cacheField>
    <cacheField name="Product Name" numFmtId="0">
      <sharedItems/>
    </cacheField>
    <cacheField name="Category" numFmtId="0">
      <sharedItems/>
    </cacheField>
    <cacheField name="Region" numFmtId="0">
      <sharedItems/>
    </cacheField>
    <cacheField name="Sales" numFmtId="0">
      <sharedItems containsSemiMixedTypes="0" containsString="0" containsNumber="1" containsInteger="1" minValue="100" maxValue="55000"/>
    </cacheField>
    <cacheField name="Quantity" numFmtId="0">
      <sharedItems containsSemiMixedTypes="0" containsString="0" containsNumber="1" containsInteger="1" minValue="1" maxValue="25"/>
    </cacheField>
    <cacheField name="Profit" numFmtId="0">
      <sharedItems containsSemiMixedTypes="0" containsString="0" containsNumber="1" containsInteger="1" minValue="30" maxValue="1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6.626979050925" createdVersion="8" refreshedVersion="8" minRefreshableVersion="3" recordCount="15" xr:uid="{0BE75D64-AF6B-4379-9322-DE4965D10705}">
  <cacheSource type="worksheet">
    <worksheetSource ref="A1:I16" sheet="dataset"/>
  </cacheSource>
  <cacheFields count="9">
    <cacheField name="Order ID" numFmtId="0">
      <sharedItems containsSemiMixedTypes="0" containsString="0" containsNumber="1" containsInteger="1" minValue="1001" maxValue="1015"/>
    </cacheField>
    <cacheField name="Date" numFmtId="14">
      <sharedItems containsSemiMixedTypes="0" containsNonDate="0" containsDate="1" containsString="0" minDate="2024-01-01T00:00:00" maxDate="2024-02-21T00:00:00" count="15">
        <d v="2024-01-01T00:00:00"/>
        <d v="2024-01-03T00:00:00"/>
        <d v="2024-01-05T00:00:00"/>
        <d v="2024-01-07T00:00:00"/>
        <d v="2024-01-10T00:00:00"/>
        <d v="2024-01-12T00:00:00"/>
        <d v="2024-01-15T00:00:00"/>
        <d v="2024-01-18T00:00:00"/>
        <d v="2024-01-20T00:00:00"/>
        <d v="2024-01-25T00:00:00"/>
        <d v="2024-02-02T00:00:00"/>
        <d v="2024-02-05T00:00:00"/>
        <d v="2024-02-10T00:00:00"/>
        <d v="2024-02-15T00:00:00"/>
        <d v="2024-02-20T00:00:00"/>
      </sharedItems>
    </cacheField>
    <cacheField name="Product Name" numFmtId="0">
      <sharedItems count="7">
        <s v="Laptop"/>
        <s v="Mouse"/>
        <s v="Chair"/>
        <s v="Table"/>
        <s v="Phone"/>
        <s v="Notebook"/>
        <s v="Pen"/>
      </sharedItems>
    </cacheField>
    <cacheField name="Category" numFmtId="0">
      <sharedItems count="3">
        <s v="Technology"/>
        <s v="Furniture"/>
        <s v="Stationery"/>
      </sharedItems>
    </cacheField>
    <cacheField name="Region" numFmtId="0">
      <sharedItems count="4">
        <s v="South"/>
        <s v="East"/>
        <s v="West"/>
        <s v="North"/>
      </sharedItems>
    </cacheField>
    <cacheField name="Sales" numFmtId="0">
      <sharedItems containsSemiMixedTypes="0" containsString="0" containsNumber="1" containsInteger="1" minValue="100" maxValue="55000" count="15">
        <n v="50000"/>
        <n v="500"/>
        <n v="3000"/>
        <n v="7000"/>
        <n v="20000"/>
        <n v="200"/>
        <n v="100"/>
        <n v="52000"/>
        <n v="3500"/>
        <n v="21000"/>
        <n v="7500"/>
        <n v="600"/>
        <n v="150"/>
        <n v="250"/>
        <n v="55000"/>
      </sharedItems>
    </cacheField>
    <cacheField name="Quantity" numFmtId="0">
      <sharedItems containsSemiMixedTypes="0" containsString="0" containsNumber="1" containsInteger="1" minValue="1" maxValue="25"/>
    </cacheField>
    <cacheField name="Profit" numFmtId="0">
      <sharedItems containsSemiMixedTypes="0" containsString="0" containsNumber="1" containsInteger="1" minValue="30" maxValue="10000"/>
    </cacheField>
    <cacheField name="Month" numFmtId="0">
      <sharedItems count="2">
        <s v="Jan"/>
        <s v="Feb"/>
      </sharedItems>
    </cacheField>
  </cacheFields>
  <extLst>
    <ext xmlns:x14="http://schemas.microsoft.com/office/spreadsheetml/2009/9/main" uri="{725AE2AE-9491-48be-B2B4-4EB974FC3084}">
      <x14:pivotCacheDefinition pivotCacheId="1455974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d v="2024-01-01T00:00:00"/>
    <s v="Laptop"/>
    <s v="Technology"/>
    <s v="South"/>
    <n v="50000"/>
    <n v="2"/>
    <n v="8000"/>
  </r>
  <r>
    <n v="1002"/>
    <d v="2024-01-03T00:00:00"/>
    <s v="Mouse"/>
    <s v="Technology"/>
    <s v="East"/>
    <n v="500"/>
    <n v="5"/>
    <n v="150"/>
  </r>
  <r>
    <n v="1003"/>
    <d v="2024-01-05T00:00:00"/>
    <s v="Chair"/>
    <s v="Furniture"/>
    <s v="West"/>
    <n v="3000"/>
    <n v="1"/>
    <n v="500"/>
  </r>
  <r>
    <n v="1004"/>
    <d v="2024-01-07T00:00:00"/>
    <s v="Table"/>
    <s v="Furniture"/>
    <s v="South"/>
    <n v="7000"/>
    <n v="2"/>
    <n v="1200"/>
  </r>
  <r>
    <n v="1005"/>
    <d v="2024-01-10T00:00:00"/>
    <s v="Phone"/>
    <s v="Technology"/>
    <s v="North"/>
    <n v="20000"/>
    <n v="3"/>
    <n v="4000"/>
  </r>
  <r>
    <n v="1006"/>
    <d v="2024-01-12T00:00:00"/>
    <s v="Notebook"/>
    <s v="Stationery"/>
    <s v="East"/>
    <n v="200"/>
    <n v="10"/>
    <n v="50"/>
  </r>
  <r>
    <n v="1007"/>
    <d v="2024-01-15T00:00:00"/>
    <s v="Pen"/>
    <s v="Stationery"/>
    <s v="West"/>
    <n v="100"/>
    <n v="20"/>
    <n v="30"/>
  </r>
  <r>
    <n v="1008"/>
    <d v="2024-01-18T00:00:00"/>
    <s v="Laptop"/>
    <s v="Technology"/>
    <s v="South"/>
    <n v="52000"/>
    <n v="2"/>
    <n v="9000"/>
  </r>
  <r>
    <n v="1009"/>
    <d v="2024-01-20T00:00:00"/>
    <s v="Chair"/>
    <s v="Furniture"/>
    <s v="North"/>
    <n v="3500"/>
    <n v="1"/>
    <n v="600"/>
  </r>
  <r>
    <n v="1010"/>
    <d v="2024-01-25T00:00:00"/>
    <s v="Phone"/>
    <s v="Technology"/>
    <s v="East"/>
    <n v="21000"/>
    <n v="2"/>
    <n v="4200"/>
  </r>
  <r>
    <n v="1011"/>
    <d v="2024-02-02T00:00:00"/>
    <s v="Table"/>
    <s v="Furniture"/>
    <s v="West"/>
    <n v="7500"/>
    <n v="1"/>
    <n v="1300"/>
  </r>
  <r>
    <n v="1012"/>
    <d v="2024-02-05T00:00:00"/>
    <s v="Mouse"/>
    <s v="Technology"/>
    <s v="South"/>
    <n v="600"/>
    <n v="6"/>
    <n v="200"/>
  </r>
  <r>
    <n v="1013"/>
    <d v="2024-02-10T00:00:00"/>
    <s v="Pen"/>
    <s v="Stationery"/>
    <s v="North"/>
    <n v="150"/>
    <n v="25"/>
    <n v="40"/>
  </r>
  <r>
    <n v="1014"/>
    <d v="2024-02-15T00:00:00"/>
    <s v="Notebook"/>
    <s v="Stationery"/>
    <s v="East"/>
    <n v="250"/>
    <n v="15"/>
    <n v="70"/>
  </r>
  <r>
    <n v="1015"/>
    <d v="2024-02-20T00:00:00"/>
    <s v="Laptop"/>
    <s v="Technology"/>
    <s v="West"/>
    <n v="55000"/>
    <n v="1"/>
    <n v="1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x v="0"/>
    <x v="0"/>
    <x v="0"/>
    <x v="0"/>
    <n v="2"/>
    <n v="8000"/>
    <x v="0"/>
  </r>
  <r>
    <n v="1002"/>
    <x v="1"/>
    <x v="1"/>
    <x v="0"/>
    <x v="1"/>
    <x v="1"/>
    <n v="5"/>
    <n v="150"/>
    <x v="0"/>
  </r>
  <r>
    <n v="1003"/>
    <x v="2"/>
    <x v="2"/>
    <x v="1"/>
    <x v="2"/>
    <x v="2"/>
    <n v="1"/>
    <n v="500"/>
    <x v="0"/>
  </r>
  <r>
    <n v="1004"/>
    <x v="3"/>
    <x v="3"/>
    <x v="1"/>
    <x v="0"/>
    <x v="3"/>
    <n v="2"/>
    <n v="1200"/>
    <x v="0"/>
  </r>
  <r>
    <n v="1005"/>
    <x v="4"/>
    <x v="4"/>
    <x v="0"/>
    <x v="3"/>
    <x v="4"/>
    <n v="3"/>
    <n v="4000"/>
    <x v="0"/>
  </r>
  <r>
    <n v="1006"/>
    <x v="5"/>
    <x v="5"/>
    <x v="2"/>
    <x v="1"/>
    <x v="5"/>
    <n v="10"/>
    <n v="50"/>
    <x v="0"/>
  </r>
  <r>
    <n v="1007"/>
    <x v="6"/>
    <x v="6"/>
    <x v="2"/>
    <x v="2"/>
    <x v="6"/>
    <n v="20"/>
    <n v="30"/>
    <x v="0"/>
  </r>
  <r>
    <n v="1008"/>
    <x v="7"/>
    <x v="0"/>
    <x v="0"/>
    <x v="0"/>
    <x v="7"/>
    <n v="2"/>
    <n v="9000"/>
    <x v="0"/>
  </r>
  <r>
    <n v="1009"/>
    <x v="8"/>
    <x v="2"/>
    <x v="1"/>
    <x v="3"/>
    <x v="8"/>
    <n v="1"/>
    <n v="600"/>
    <x v="0"/>
  </r>
  <r>
    <n v="1010"/>
    <x v="9"/>
    <x v="4"/>
    <x v="0"/>
    <x v="1"/>
    <x v="9"/>
    <n v="2"/>
    <n v="4200"/>
    <x v="0"/>
  </r>
  <r>
    <n v="1011"/>
    <x v="10"/>
    <x v="3"/>
    <x v="1"/>
    <x v="2"/>
    <x v="10"/>
    <n v="1"/>
    <n v="1300"/>
    <x v="1"/>
  </r>
  <r>
    <n v="1012"/>
    <x v="11"/>
    <x v="1"/>
    <x v="0"/>
    <x v="0"/>
    <x v="11"/>
    <n v="6"/>
    <n v="200"/>
    <x v="1"/>
  </r>
  <r>
    <n v="1013"/>
    <x v="12"/>
    <x v="6"/>
    <x v="2"/>
    <x v="3"/>
    <x v="12"/>
    <n v="25"/>
    <n v="40"/>
    <x v="1"/>
  </r>
  <r>
    <n v="1014"/>
    <x v="13"/>
    <x v="5"/>
    <x v="2"/>
    <x v="1"/>
    <x v="13"/>
    <n v="15"/>
    <n v="70"/>
    <x v="1"/>
  </r>
  <r>
    <n v="1015"/>
    <x v="14"/>
    <x v="0"/>
    <x v="0"/>
    <x v="2"/>
    <x v="14"/>
    <n v="1"/>
    <n v="1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9EA06B-89EB-4C35-B1E8-DA7FC03E7D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5:M42" firstHeaderRow="1" firstDataRow="1" firstDataCol="0"/>
  <pivotFields count="8">
    <pivotField showAll="0"/>
    <pivotField numFmtId="14"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B7CAF3-C4B3-43E4-BB3C-A525385AE28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9">
    <pivotField showAll="0"/>
    <pivotField numFmtId="14" showAll="0"/>
    <pivotField showAll="0"/>
    <pivotField showAll="0">
      <items count="4">
        <item x="1"/>
        <item h="1" x="2"/>
        <item h="1" x="0"/>
        <item t="default"/>
      </items>
    </pivotField>
    <pivotField axis="axisRow" showAll="0">
      <items count="5">
        <item h="1" x="1"/>
        <item h="1" x="3"/>
        <item x="0"/>
        <item h="1" x="2"/>
        <item t="default"/>
      </items>
    </pivotField>
    <pivotField dataField="1" showAll="0">
      <items count="16">
        <item h="1" x="6"/>
        <item h="1" x="12"/>
        <item h="1" x="5"/>
        <item h="1" x="13"/>
        <item h="1" x="1"/>
        <item h="1" x="11"/>
        <item h="1" x="2"/>
        <item x="8"/>
        <item h="1" x="3"/>
        <item h="1" x="10"/>
        <item h="1" x="4"/>
        <item h="1" x="9"/>
        <item h="1" x="0"/>
        <item h="1" x="7"/>
        <item h="1" x="14"/>
        <item t="default"/>
      </items>
    </pivotField>
    <pivotField showAll="0"/>
    <pivotField showAll="0"/>
    <pivotField showAll="0"/>
  </pivotFields>
  <rowFields count="1">
    <field x="4"/>
  </rowFields>
  <rowItems count="2">
    <i>
      <x v="2"/>
    </i>
    <i t="grand">
      <x/>
    </i>
  </rowItems>
  <colItems count="1">
    <i/>
  </colItems>
  <dataFields count="1">
    <dataField name="Sum of Sales" fld="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A79539-5ECB-49C6-B62C-7B1A1724E13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6" firstHeaderRow="1" firstDataRow="1" firstDataCol="1"/>
  <pivotFields count="9">
    <pivotField showAll="0"/>
    <pivotField numFmtId="14" showAll="0"/>
    <pivotField showAll="0"/>
    <pivotField showAll="0"/>
    <pivotField showAll="0">
      <items count="5">
        <item h="1" x="1"/>
        <item h="1" x="3"/>
        <item x="0"/>
        <item h="1" x="2"/>
        <item t="default"/>
      </items>
    </pivotField>
    <pivotField dataField="1" showAll="0">
      <items count="16">
        <item h="1" x="6"/>
        <item h="1" x="12"/>
        <item h="1" x="5"/>
        <item h="1" x="13"/>
        <item x="1"/>
        <item h="1" x="11"/>
        <item h="1" x="2"/>
        <item h="1" x="8"/>
        <item h="1" x="3"/>
        <item h="1" x="10"/>
        <item h="1" x="4"/>
        <item h="1" x="9"/>
        <item h="1" x="0"/>
        <item h="1" x="7"/>
        <item h="1" x="14"/>
        <item t="default"/>
      </items>
    </pivotField>
    <pivotField showAll="0"/>
    <pivotField showAll="0"/>
    <pivotField axis="axisRow" showAll="0">
      <items count="3">
        <item x="0"/>
        <item x="1"/>
        <item t="default"/>
      </items>
    </pivotField>
  </pivotFields>
  <rowFields count="1">
    <field x="8"/>
  </rowFields>
  <rowItems count="3">
    <i>
      <x/>
    </i>
    <i>
      <x v="1"/>
    </i>
    <i t="grand">
      <x/>
    </i>
  </rowItems>
  <colItems count="1">
    <i/>
  </colItems>
  <dataFields count="1">
    <dataField name="Sum of Sales" fld="5" baseField="0" baseItem="0"/>
  </dataField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11FB78-8E64-4487-8990-07C168B514C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9">
    <pivotField showAll="0"/>
    <pivotField numFmtId="14" showAll="0"/>
    <pivotField axis="axisRow" showAll="0" sortType="descending">
      <items count="8">
        <item x="2"/>
        <item x="0"/>
        <item x="1"/>
        <item x="5"/>
        <item x="6"/>
        <item x="4"/>
        <item x="3"/>
        <item t="default"/>
      </items>
      <autoSortScope>
        <pivotArea dataOnly="0" outline="0" fieldPosition="0">
          <references count="1">
            <reference field="4294967294" count="1" selected="0">
              <x v="0"/>
            </reference>
          </references>
        </pivotArea>
      </autoSortScope>
    </pivotField>
    <pivotField showAll="0"/>
    <pivotField showAll="0">
      <items count="5">
        <item h="1" x="1"/>
        <item h="1" x="3"/>
        <item x="0"/>
        <item h="1" x="2"/>
        <item t="default"/>
      </items>
    </pivotField>
    <pivotField dataField="1" showAll="0">
      <items count="16">
        <item h="1" x="6"/>
        <item h="1" x="12"/>
        <item h="1" x="5"/>
        <item h="1" x="13"/>
        <item h="1" x="1"/>
        <item h="1" x="11"/>
        <item h="1" x="2"/>
        <item h="1" x="8"/>
        <item h="1" x="3"/>
        <item h="1" x="10"/>
        <item h="1" x="4"/>
        <item h="1" x="9"/>
        <item h="1" x="0"/>
        <item x="7"/>
        <item h="1" x="14"/>
        <item t="default"/>
      </items>
    </pivotField>
    <pivotField showAll="0"/>
    <pivotField showAll="0"/>
    <pivotField showAll="0"/>
  </pivotFields>
  <rowFields count="1">
    <field x="2"/>
  </rowFields>
  <rowItems count="2">
    <i>
      <x v="1"/>
    </i>
    <i t="grand">
      <x/>
    </i>
  </rowItems>
  <colItems count="1">
    <i/>
  </colItems>
  <dataFields count="1">
    <dataField name="Sum of Sales" fld="5"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2CA0E2-3FA9-4275-8E0A-0CE1ABAC29E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6" firstHeaderRow="0" firstDataRow="1" firstDataCol="1"/>
  <pivotFields count="9">
    <pivotField showAll="0"/>
    <pivotField numFmtId="14" showAll="0"/>
    <pivotField showAll="0"/>
    <pivotField axis="axisRow" showAll="0">
      <items count="4">
        <item x="1"/>
        <item x="2"/>
        <item x="0"/>
        <item t="default"/>
      </items>
    </pivotField>
    <pivotField showAll="0">
      <items count="5">
        <item h="1" x="1"/>
        <item h="1" x="3"/>
        <item x="0"/>
        <item h="1" x="2"/>
        <item t="default"/>
      </items>
    </pivotField>
    <pivotField dataField="1" showAll="0"/>
    <pivotField showAll="0"/>
    <pivotField dataField="1" showAll="0"/>
    <pivotField showAll="0"/>
  </pivotFields>
  <rowFields count="1">
    <field x="3"/>
  </rowFields>
  <rowItems count="3">
    <i>
      <x/>
    </i>
    <i>
      <x v="2"/>
    </i>
    <i t="grand">
      <x/>
    </i>
  </rowItems>
  <colFields count="1">
    <field x="-2"/>
  </colFields>
  <colItems count="2">
    <i>
      <x/>
    </i>
    <i i="1">
      <x v="1"/>
    </i>
  </colItems>
  <dataFields count="2">
    <dataField name="Sum of Sales" fld="5" baseField="0" baseItem="0"/>
    <dataField name="Sum of Profit" fld="7" baseField="0" baseItem="0"/>
  </dataFields>
  <chartFormats count="1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7" format="13">
      <pivotArea type="data" outline="0" fieldPosition="0">
        <references count="2">
          <reference field="4294967294" count="1" selected="0">
            <x v="0"/>
          </reference>
          <reference field="3" count="1" selected="0">
            <x v="2"/>
          </reference>
        </references>
      </pivotArea>
    </chartFormat>
    <chartFormat chart="7" format="14" series="1">
      <pivotArea type="data" outline="0" fieldPosition="0">
        <references count="1">
          <reference field="4294967294" count="1" selected="0">
            <x v="1"/>
          </reference>
        </references>
      </pivotArea>
    </chartFormat>
    <chartFormat chart="7" format="15">
      <pivotArea type="data" outline="0" fieldPosition="0">
        <references count="2">
          <reference field="4294967294" count="1" selected="0">
            <x v="1"/>
          </reference>
          <reference field="3" count="1" selected="0">
            <x v="0"/>
          </reference>
        </references>
      </pivotArea>
    </chartFormat>
    <chartFormat chart="7" format="16">
      <pivotArea type="data" outline="0" fieldPosition="0">
        <references count="2">
          <reference field="4294967294" count="1" selected="0">
            <x v="1"/>
          </reference>
          <reference field="3" count="1" selected="0">
            <x v="1"/>
          </reference>
        </references>
      </pivotArea>
    </chartFormat>
    <chartFormat chart="7" format="17">
      <pivotArea type="data" outline="0" fieldPosition="0">
        <references count="2">
          <reference field="4294967294" count="1" selected="0">
            <x v="1"/>
          </reference>
          <reference field="3" count="1" selected="0">
            <x v="2"/>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1"/>
          </reference>
          <reference field="3" count="1" selected="0">
            <x v="0"/>
          </reference>
        </references>
      </pivotArea>
    </chartFormat>
    <chartFormat chart="4" format="6">
      <pivotArea type="data" outline="0" fieldPosition="0">
        <references count="2">
          <reference field="4294967294" count="1" selected="0">
            <x v="1"/>
          </reference>
          <reference field="3" count="1" selected="0">
            <x v="1"/>
          </reference>
        </references>
      </pivotArea>
    </chartFormat>
    <chartFormat chart="4" format="7">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4064B0-88A9-4551-9735-659742A705A6}" sourceName="Region">
  <pivotTables>
    <pivotTable tabId="4" name="PivotTable4"/>
    <pivotTable tabId="10" name="PivotTable2"/>
    <pivotTable tabId="3" name="PivotTable3"/>
    <pivotTable tabId="5" name="PivotTable5"/>
  </pivotTables>
  <data>
    <tabular pivotCacheId="1455974270">
      <items count="4">
        <i x="1"/>
        <i x="3"/>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58CFAF5D-8979-49CD-92F1-BFAB54AD45D6}" sourceName="Sales">
  <pivotTables>
    <pivotTable tabId="4" name="PivotTable4"/>
  </pivotTables>
  <data>
    <tabular pivotCacheId="1455974270">
      <items count="15">
        <i x="11"/>
        <i x="3"/>
        <i x="0"/>
        <i x="7" s="1"/>
        <i x="6" nd="1"/>
        <i x="12" nd="1"/>
        <i x="5" nd="1"/>
        <i x="13" nd="1"/>
        <i x="1" nd="1"/>
        <i x="2" nd="1"/>
        <i x="8" nd="1"/>
        <i x="10" nd="1"/>
        <i x="4" nd="1"/>
        <i x="9" nd="1"/>
        <i x="1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03FC7E4-BAE8-4E6F-807D-86E49A39B866}" cache="Slicer_Region" caption="Region" rowHeight="234950"/>
  <slicer name="Sales 1" xr10:uid="{4F47A496-B01E-455F-BE6B-897FF60D2CEC}" cache="Slicer_Sales" caption="Sales" startItem="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58AA18-0E75-4FE9-9FA0-9170C8B03DAC}" cache="Slicer_Region" caption="Region" rowHeight="234950"/>
  <slicer name="Sales" xr10:uid="{5E8178C9-5BDB-4328-8248-B25AB1600BD8}" cache="Slicer_Sales" caption="Sal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A707C-A55F-47E3-8371-CF73DCD6D366}">
  <dimension ref="J4:N7"/>
  <sheetViews>
    <sheetView showGridLines="0" tabSelected="1" zoomScaleNormal="100" workbookViewId="0">
      <selection activeCell="N7" sqref="N7"/>
    </sheetView>
  </sheetViews>
  <sheetFormatPr defaultRowHeight="14.4" x14ac:dyDescent="0.3"/>
  <cols>
    <col min="4" max="4" width="10.77734375" customWidth="1"/>
  </cols>
  <sheetData>
    <row r="4" spans="10:14" x14ac:dyDescent="0.3">
      <c r="J4" s="13"/>
    </row>
    <row r="7" spans="10:14" x14ac:dyDescent="0.3">
      <c r="N7"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7567D-EC9F-443E-A7F4-D5A9DACDFF68}">
  <dimension ref="A1:M42"/>
  <sheetViews>
    <sheetView workbookViewId="0">
      <selection activeCell="J1" sqref="J1:L2"/>
    </sheetView>
  </sheetViews>
  <sheetFormatPr defaultRowHeight="14.4" x14ac:dyDescent="0.3"/>
  <cols>
    <col min="1" max="8" width="10.77734375" customWidth="1"/>
    <col min="10" max="12" width="10.77734375" customWidth="1"/>
  </cols>
  <sheetData>
    <row r="1" spans="1:9" x14ac:dyDescent="0.3">
      <c r="A1" t="s">
        <v>0</v>
      </c>
      <c r="B1" t="s">
        <v>1</v>
      </c>
      <c r="C1" t="s">
        <v>2</v>
      </c>
      <c r="D1" t="s">
        <v>3</v>
      </c>
      <c r="E1" t="s">
        <v>4</v>
      </c>
      <c r="F1" t="s">
        <v>5</v>
      </c>
      <c r="G1" t="s">
        <v>6</v>
      </c>
      <c r="H1" t="s">
        <v>7</v>
      </c>
      <c r="I1" t="s">
        <v>22</v>
      </c>
    </row>
    <row r="2" spans="1:9" x14ac:dyDescent="0.3">
      <c r="A2">
        <v>1001</v>
      </c>
      <c r="B2" s="1">
        <v>45292</v>
      </c>
      <c r="C2" t="s">
        <v>8</v>
      </c>
      <c r="D2" t="s">
        <v>9</v>
      </c>
      <c r="E2" t="s">
        <v>10</v>
      </c>
      <c r="F2">
        <v>50000</v>
      </c>
      <c r="G2">
        <v>2</v>
      </c>
      <c r="H2">
        <v>8000</v>
      </c>
      <c r="I2" t="str">
        <f>TEXT(B2,"mmm")</f>
        <v>Jan</v>
      </c>
    </row>
    <row r="3" spans="1:9" x14ac:dyDescent="0.3">
      <c r="A3">
        <v>1002</v>
      </c>
      <c r="B3" s="1">
        <v>45294</v>
      </c>
      <c r="C3" t="s">
        <v>11</v>
      </c>
      <c r="D3" t="s">
        <v>9</v>
      </c>
      <c r="E3" t="s">
        <v>12</v>
      </c>
      <c r="F3">
        <v>500</v>
      </c>
      <c r="G3">
        <v>5</v>
      </c>
      <c r="H3">
        <v>150</v>
      </c>
      <c r="I3" t="str">
        <f t="shared" ref="I3:I16" si="0">TEXT(B3,"mmm")</f>
        <v>Jan</v>
      </c>
    </row>
    <row r="4" spans="1:9" x14ac:dyDescent="0.3">
      <c r="A4">
        <v>1003</v>
      </c>
      <c r="B4" s="1">
        <v>45296</v>
      </c>
      <c r="C4" t="s">
        <v>13</v>
      </c>
      <c r="D4" t="s">
        <v>14</v>
      </c>
      <c r="E4" t="s">
        <v>15</v>
      </c>
      <c r="F4">
        <v>3000</v>
      </c>
      <c r="G4">
        <v>1</v>
      </c>
      <c r="H4">
        <v>500</v>
      </c>
      <c r="I4" t="str">
        <f t="shared" si="0"/>
        <v>Jan</v>
      </c>
    </row>
    <row r="5" spans="1:9" x14ac:dyDescent="0.3">
      <c r="A5">
        <v>1004</v>
      </c>
      <c r="B5" s="1">
        <v>45298</v>
      </c>
      <c r="C5" t="s">
        <v>16</v>
      </c>
      <c r="D5" t="s">
        <v>14</v>
      </c>
      <c r="E5" t="s">
        <v>10</v>
      </c>
      <c r="F5">
        <v>7000</v>
      </c>
      <c r="G5">
        <v>2</v>
      </c>
      <c r="H5">
        <v>1200</v>
      </c>
      <c r="I5" t="str">
        <f t="shared" si="0"/>
        <v>Jan</v>
      </c>
    </row>
    <row r="6" spans="1:9" x14ac:dyDescent="0.3">
      <c r="A6">
        <v>1005</v>
      </c>
      <c r="B6" s="1">
        <v>45301</v>
      </c>
      <c r="C6" t="s">
        <v>17</v>
      </c>
      <c r="D6" t="s">
        <v>9</v>
      </c>
      <c r="E6" t="s">
        <v>18</v>
      </c>
      <c r="F6">
        <v>20000</v>
      </c>
      <c r="G6">
        <v>3</v>
      </c>
      <c r="H6">
        <v>4000</v>
      </c>
      <c r="I6" t="str">
        <f t="shared" si="0"/>
        <v>Jan</v>
      </c>
    </row>
    <row r="7" spans="1:9" x14ac:dyDescent="0.3">
      <c r="A7">
        <v>1006</v>
      </c>
      <c r="B7" s="1">
        <v>45303</v>
      </c>
      <c r="C7" t="s">
        <v>19</v>
      </c>
      <c r="D7" t="s">
        <v>20</v>
      </c>
      <c r="E7" t="s">
        <v>12</v>
      </c>
      <c r="F7">
        <v>200</v>
      </c>
      <c r="G7">
        <v>10</v>
      </c>
      <c r="H7">
        <v>50</v>
      </c>
      <c r="I7" t="str">
        <f t="shared" si="0"/>
        <v>Jan</v>
      </c>
    </row>
    <row r="8" spans="1:9" x14ac:dyDescent="0.3">
      <c r="A8">
        <v>1007</v>
      </c>
      <c r="B8" s="1">
        <v>45306</v>
      </c>
      <c r="C8" t="s">
        <v>21</v>
      </c>
      <c r="D8" t="s">
        <v>20</v>
      </c>
      <c r="E8" t="s">
        <v>15</v>
      </c>
      <c r="F8">
        <v>100</v>
      </c>
      <c r="G8">
        <v>20</v>
      </c>
      <c r="H8">
        <v>30</v>
      </c>
      <c r="I8" t="str">
        <f t="shared" si="0"/>
        <v>Jan</v>
      </c>
    </row>
    <row r="9" spans="1:9" x14ac:dyDescent="0.3">
      <c r="A9">
        <v>1008</v>
      </c>
      <c r="B9" s="1">
        <v>45309</v>
      </c>
      <c r="C9" t="s">
        <v>8</v>
      </c>
      <c r="D9" t="s">
        <v>9</v>
      </c>
      <c r="E9" t="s">
        <v>10</v>
      </c>
      <c r="F9">
        <v>52000</v>
      </c>
      <c r="G9">
        <v>2</v>
      </c>
      <c r="H9">
        <v>9000</v>
      </c>
      <c r="I9" t="str">
        <f t="shared" si="0"/>
        <v>Jan</v>
      </c>
    </row>
    <row r="10" spans="1:9" x14ac:dyDescent="0.3">
      <c r="A10">
        <v>1009</v>
      </c>
      <c r="B10" s="1">
        <v>45311</v>
      </c>
      <c r="C10" t="s">
        <v>13</v>
      </c>
      <c r="D10" t="s">
        <v>14</v>
      </c>
      <c r="E10" t="s">
        <v>18</v>
      </c>
      <c r="F10">
        <v>3500</v>
      </c>
      <c r="G10">
        <v>1</v>
      </c>
      <c r="H10">
        <v>600</v>
      </c>
      <c r="I10" t="str">
        <f t="shared" si="0"/>
        <v>Jan</v>
      </c>
    </row>
    <row r="11" spans="1:9" x14ac:dyDescent="0.3">
      <c r="A11">
        <v>1010</v>
      </c>
      <c r="B11" s="1">
        <v>45316</v>
      </c>
      <c r="C11" t="s">
        <v>17</v>
      </c>
      <c r="D11" t="s">
        <v>9</v>
      </c>
      <c r="E11" t="s">
        <v>12</v>
      </c>
      <c r="F11">
        <v>21000</v>
      </c>
      <c r="G11">
        <v>2</v>
      </c>
      <c r="H11">
        <v>4200</v>
      </c>
      <c r="I11" t="str">
        <f t="shared" si="0"/>
        <v>Jan</v>
      </c>
    </row>
    <row r="12" spans="1:9" x14ac:dyDescent="0.3">
      <c r="A12">
        <v>1011</v>
      </c>
      <c r="B12" s="1">
        <v>45324</v>
      </c>
      <c r="C12" t="s">
        <v>16</v>
      </c>
      <c r="D12" t="s">
        <v>14</v>
      </c>
      <c r="E12" t="s">
        <v>15</v>
      </c>
      <c r="F12">
        <v>7500</v>
      </c>
      <c r="G12">
        <v>1</v>
      </c>
      <c r="H12">
        <v>1300</v>
      </c>
      <c r="I12" t="str">
        <f t="shared" si="0"/>
        <v>Feb</v>
      </c>
    </row>
    <row r="13" spans="1:9" x14ac:dyDescent="0.3">
      <c r="A13">
        <v>1012</v>
      </c>
      <c r="B13" s="1">
        <v>45327</v>
      </c>
      <c r="C13" t="s">
        <v>11</v>
      </c>
      <c r="D13" t="s">
        <v>9</v>
      </c>
      <c r="E13" t="s">
        <v>10</v>
      </c>
      <c r="F13">
        <v>600</v>
      </c>
      <c r="G13">
        <v>6</v>
      </c>
      <c r="H13">
        <v>200</v>
      </c>
      <c r="I13" t="str">
        <f t="shared" si="0"/>
        <v>Feb</v>
      </c>
    </row>
    <row r="14" spans="1:9" x14ac:dyDescent="0.3">
      <c r="A14">
        <v>1013</v>
      </c>
      <c r="B14" s="1">
        <v>45332</v>
      </c>
      <c r="C14" t="s">
        <v>21</v>
      </c>
      <c r="D14" t="s">
        <v>20</v>
      </c>
      <c r="E14" t="s">
        <v>18</v>
      </c>
      <c r="F14">
        <v>150</v>
      </c>
      <c r="G14">
        <v>25</v>
      </c>
      <c r="H14">
        <v>40</v>
      </c>
      <c r="I14" t="str">
        <f t="shared" si="0"/>
        <v>Feb</v>
      </c>
    </row>
    <row r="15" spans="1:9" x14ac:dyDescent="0.3">
      <c r="A15">
        <v>1014</v>
      </c>
      <c r="B15" s="1">
        <v>45337</v>
      </c>
      <c r="C15" t="s">
        <v>19</v>
      </c>
      <c r="D15" t="s">
        <v>20</v>
      </c>
      <c r="E15" t="s">
        <v>12</v>
      </c>
      <c r="F15">
        <v>250</v>
      </c>
      <c r="G15">
        <v>15</v>
      </c>
      <c r="H15">
        <v>70</v>
      </c>
      <c r="I15" t="str">
        <f t="shared" si="0"/>
        <v>Feb</v>
      </c>
    </row>
    <row r="16" spans="1:9" x14ac:dyDescent="0.3">
      <c r="A16">
        <v>1015</v>
      </c>
      <c r="B16" s="1">
        <v>45342</v>
      </c>
      <c r="C16" t="s">
        <v>8</v>
      </c>
      <c r="D16" t="s">
        <v>9</v>
      </c>
      <c r="E16" t="s">
        <v>15</v>
      </c>
      <c r="F16">
        <v>55000</v>
      </c>
      <c r="G16">
        <v>1</v>
      </c>
      <c r="H16">
        <v>10000</v>
      </c>
      <c r="I16" t="str">
        <f t="shared" si="0"/>
        <v>Feb</v>
      </c>
    </row>
    <row r="25" spans="11:13" x14ac:dyDescent="0.3">
      <c r="K25" s="2"/>
      <c r="L25" s="3"/>
      <c r="M25" s="4"/>
    </row>
    <row r="26" spans="11:13" x14ac:dyDescent="0.3">
      <c r="K26" s="5"/>
      <c r="L26" s="6"/>
      <c r="M26" s="7"/>
    </row>
    <row r="27" spans="11:13" x14ac:dyDescent="0.3">
      <c r="K27" s="5"/>
      <c r="L27" s="6"/>
      <c r="M27" s="7"/>
    </row>
    <row r="28" spans="11:13" x14ac:dyDescent="0.3">
      <c r="K28" s="5"/>
      <c r="L28" s="6"/>
      <c r="M28" s="7"/>
    </row>
    <row r="29" spans="11:13" x14ac:dyDescent="0.3">
      <c r="K29" s="5"/>
      <c r="L29" s="6"/>
      <c r="M29" s="7"/>
    </row>
    <row r="30" spans="11:13" x14ac:dyDescent="0.3">
      <c r="K30" s="5"/>
      <c r="L30" s="6"/>
      <c r="M30" s="7"/>
    </row>
    <row r="31" spans="11:13" x14ac:dyDescent="0.3">
      <c r="K31" s="5"/>
      <c r="L31" s="6"/>
      <c r="M31" s="7"/>
    </row>
    <row r="32" spans="11:13" x14ac:dyDescent="0.3">
      <c r="K32" s="5"/>
      <c r="L32" s="6"/>
      <c r="M32" s="7"/>
    </row>
    <row r="33" spans="11:13" x14ac:dyDescent="0.3">
      <c r="K33" s="5"/>
      <c r="L33" s="6"/>
      <c r="M33" s="7"/>
    </row>
    <row r="34" spans="11:13" x14ac:dyDescent="0.3">
      <c r="K34" s="5"/>
      <c r="L34" s="6"/>
      <c r="M34" s="7"/>
    </row>
    <row r="35" spans="11:13" x14ac:dyDescent="0.3">
      <c r="K35" s="5"/>
      <c r="L35" s="6"/>
      <c r="M35" s="7"/>
    </row>
    <row r="36" spans="11:13" x14ac:dyDescent="0.3">
      <c r="K36" s="5"/>
      <c r="L36" s="6"/>
      <c r="M36" s="7"/>
    </row>
    <row r="37" spans="11:13" x14ac:dyDescent="0.3">
      <c r="K37" s="5"/>
      <c r="L37" s="6"/>
      <c r="M37" s="7"/>
    </row>
    <row r="38" spans="11:13" x14ac:dyDescent="0.3">
      <c r="K38" s="5"/>
      <c r="L38" s="6"/>
      <c r="M38" s="7"/>
    </row>
    <row r="39" spans="11:13" x14ac:dyDescent="0.3">
      <c r="K39" s="5"/>
      <c r="L39" s="6"/>
      <c r="M39" s="7"/>
    </row>
    <row r="40" spans="11:13" x14ac:dyDescent="0.3">
      <c r="K40" s="5"/>
      <c r="L40" s="6"/>
      <c r="M40" s="7"/>
    </row>
    <row r="41" spans="11:13" x14ac:dyDescent="0.3">
      <c r="K41" s="5"/>
      <c r="L41" s="6"/>
      <c r="M41" s="7"/>
    </row>
    <row r="42" spans="11:13" x14ac:dyDescent="0.3">
      <c r="K42" s="8"/>
      <c r="L42" s="9"/>
      <c r="M42" s="10"/>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947B1-8111-4C8F-ACA0-76B585E86E61}">
  <dimension ref="A3:B5"/>
  <sheetViews>
    <sheetView workbookViewId="0">
      <selection activeCell="P10" sqref="P10"/>
    </sheetView>
  </sheetViews>
  <sheetFormatPr defaultRowHeight="14.4" x14ac:dyDescent="0.3"/>
  <cols>
    <col min="1" max="1" width="12.5546875" bestFit="1" customWidth="1"/>
    <col min="2" max="2" width="11.6640625" bestFit="1" customWidth="1"/>
  </cols>
  <sheetData>
    <row r="3" spans="1:2" x14ac:dyDescent="0.3">
      <c r="A3" s="11" t="s">
        <v>23</v>
      </c>
      <c r="B3" t="s">
        <v>25</v>
      </c>
    </row>
    <row r="4" spans="1:2" x14ac:dyDescent="0.3">
      <c r="A4" s="12" t="s">
        <v>10</v>
      </c>
      <c r="B4">
        <v>109600</v>
      </c>
    </row>
    <row r="5" spans="1:2" x14ac:dyDescent="0.3">
      <c r="A5" s="12" t="s">
        <v>24</v>
      </c>
      <c r="B5">
        <v>109600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1AFDF-BC16-44F4-992B-A0C463609DE4}">
  <dimension ref="A3:B6"/>
  <sheetViews>
    <sheetView topLeftCell="A3" workbookViewId="0">
      <selection activeCell="A3" sqref="A3:B7"/>
    </sheetView>
  </sheetViews>
  <sheetFormatPr defaultRowHeight="14.4" x14ac:dyDescent="0.3"/>
  <cols>
    <col min="1" max="1" width="12.5546875" bestFit="1" customWidth="1"/>
    <col min="2" max="2" width="11.6640625" bestFit="1" customWidth="1"/>
  </cols>
  <sheetData>
    <row r="3" spans="1:2" x14ac:dyDescent="0.3">
      <c r="A3" s="11" t="s">
        <v>23</v>
      </c>
      <c r="B3" t="s">
        <v>25</v>
      </c>
    </row>
    <row r="4" spans="1:2" x14ac:dyDescent="0.3">
      <c r="A4" s="12" t="s">
        <v>27</v>
      </c>
      <c r="B4">
        <v>109000</v>
      </c>
    </row>
    <row r="5" spans="1:2" x14ac:dyDescent="0.3">
      <c r="A5" s="12" t="s">
        <v>28</v>
      </c>
      <c r="B5">
        <v>600</v>
      </c>
    </row>
    <row r="6" spans="1:2" x14ac:dyDescent="0.3">
      <c r="A6" s="12" t="s">
        <v>24</v>
      </c>
      <c r="B6">
        <v>109600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57C04-3F13-47C6-A5B1-E1269714665E}">
  <dimension ref="A3:B5"/>
  <sheetViews>
    <sheetView workbookViewId="0">
      <selection activeCell="B6" sqref="B6"/>
    </sheetView>
  </sheetViews>
  <sheetFormatPr defaultRowHeight="14.4" x14ac:dyDescent="0.3"/>
  <cols>
    <col min="1" max="1" width="12.5546875" bestFit="1" customWidth="1"/>
    <col min="2" max="2" width="11.6640625" bestFit="1" customWidth="1"/>
  </cols>
  <sheetData>
    <row r="3" spans="1:2" x14ac:dyDescent="0.3">
      <c r="A3" s="11" t="s">
        <v>23</v>
      </c>
      <c r="B3" t="s">
        <v>25</v>
      </c>
    </row>
    <row r="4" spans="1:2" x14ac:dyDescent="0.3">
      <c r="A4" s="12" t="s">
        <v>8</v>
      </c>
      <c r="B4">
        <v>52000</v>
      </c>
    </row>
    <row r="5" spans="1:2" x14ac:dyDescent="0.3">
      <c r="A5" s="12" t="s">
        <v>24</v>
      </c>
      <c r="B5">
        <v>52000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34BB-740B-4EDF-B49B-EF7D78C15B61}">
  <dimension ref="A3:C6"/>
  <sheetViews>
    <sheetView workbookViewId="0">
      <selection activeCell="N11" sqref="N11"/>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11" t="s">
        <v>23</v>
      </c>
      <c r="B3" t="s">
        <v>25</v>
      </c>
      <c r="C3" t="s">
        <v>26</v>
      </c>
    </row>
    <row r="4" spans="1:3" x14ac:dyDescent="0.3">
      <c r="A4" s="12" t="s">
        <v>14</v>
      </c>
      <c r="B4">
        <v>7000</v>
      </c>
      <c r="C4">
        <v>1200</v>
      </c>
    </row>
    <row r="5" spans="1:3" x14ac:dyDescent="0.3">
      <c r="A5" s="12" t="s">
        <v>9</v>
      </c>
      <c r="B5">
        <v>102600</v>
      </c>
      <c r="C5">
        <v>17200</v>
      </c>
    </row>
    <row r="6" spans="1:3" x14ac:dyDescent="0.3">
      <c r="A6" s="12" t="s">
        <v>24</v>
      </c>
      <c r="B6">
        <v>109600</v>
      </c>
      <c r="C6">
        <v>18400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dataset</vt:lpstr>
      <vt:lpstr>Regional Analysis</vt:lpstr>
      <vt:lpstr>Sales Trend Chart</vt:lpstr>
      <vt:lpstr>Top selling Products</vt:lpstr>
      <vt:lpstr>Category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kumar</dc:creator>
  <cp:lastModifiedBy>priya kumar</cp:lastModifiedBy>
  <dcterms:created xsi:type="dcterms:W3CDTF">2026-03-25T08:13:19Z</dcterms:created>
  <dcterms:modified xsi:type="dcterms:W3CDTF">2026-03-25T13:43:17Z</dcterms:modified>
</cp:coreProperties>
</file>